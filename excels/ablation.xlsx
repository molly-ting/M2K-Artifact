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lly\Workspace\M2K-Artifact\excels\"/>
    </mc:Choice>
  </mc:AlternateContent>
  <xr:revisionPtr revIDLastSave="0" documentId="13_ncr:1_{69B091D1-45B3-43D2-8A7A-F88F33B7DC0A}" xr6:coauthVersionLast="47" xr6:coauthVersionMax="47" xr10:uidLastSave="{00000000-0000-0000-0000-000000000000}"/>
  <bookViews>
    <workbookView xWindow="-110" yWindow="-110" windowWidth="38620" windowHeight="21100" xr2:uid="{36A97AFA-4CAF-40B3-9A0E-117392A4B441}"/>
  </bookViews>
  <sheets>
    <sheet name="without HFProbe" sheetId="1" r:id="rId1"/>
    <sheet name="without configuration mutation" sheetId="2" r:id="rId2"/>
    <sheet name="without valid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9" i="2" l="1"/>
  <c r="F29" i="2"/>
  <c r="G29" i="2"/>
  <c r="H29" i="2"/>
  <c r="I29" i="2"/>
  <c r="J29" i="2"/>
  <c r="K29" i="2"/>
  <c r="L29" i="2"/>
  <c r="M29" i="2"/>
  <c r="D29" i="2"/>
  <c r="G55" i="3"/>
  <c r="H55" i="3"/>
  <c r="I55" i="3"/>
  <c r="J55" i="3"/>
  <c r="K55" i="3"/>
  <c r="F55" i="3"/>
  <c r="E55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L55" i="3" s="1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4" i="3"/>
  <c r="L4" i="3"/>
  <c r="M55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5" i="1"/>
  <c r="L4" i="1"/>
  <c r="M55" i="3" l="1"/>
</calcChain>
</file>

<file path=xl/sharedStrings.xml><?xml version="1.0" encoding="utf-8"?>
<sst xmlns="http://schemas.openxmlformats.org/spreadsheetml/2006/main" count="302" uniqueCount="92">
  <si>
    <t>index</t>
  </si>
  <si>
    <t>cuda file</t>
  </si>
  <si>
    <t>integer overflow</t>
  </si>
  <si>
    <t>TP</t>
  </si>
  <si>
    <t>FP</t>
  </si>
  <si>
    <t>out of bounds</t>
  </si>
  <si>
    <t>data race</t>
  </si>
  <si>
    <t>null pointer dereference</t>
  </si>
  <si>
    <t>activation_kernels.cu</t>
  </si>
  <si>
    <t>silu_and_mul</t>
  </si>
  <si>
    <t>mul_and_silu</t>
  </si>
  <si>
    <t>gelu_and_mul</t>
  </si>
  <si>
    <t>gelu_tanh_and_mul</t>
  </si>
  <si>
    <t>fatrelu_and_mul</t>
  </si>
  <si>
    <t>gelu_new</t>
  </si>
  <si>
    <t>gelu_fast</t>
  </si>
  <si>
    <t>gelu_quick</t>
  </si>
  <si>
    <t>layernorm_kernels.cu</t>
  </si>
  <si>
    <t>rms_norm</t>
  </si>
  <si>
    <t>fused_add_rms_norm</t>
  </si>
  <si>
    <t>avg</t>
  </si>
  <si>
    <t>cache_kernels.cu</t>
  </si>
  <si>
    <t>swap_blocks</t>
  </si>
  <si>
    <t>reshape_and_cache</t>
  </si>
  <si>
    <t>reshape_and_cache_flash</t>
  </si>
  <si>
    <t>concat_and_cache_mla</t>
  </si>
  <si>
    <t>gather_cache</t>
  </si>
  <si>
    <t>permute_cols.cu</t>
  </si>
  <si>
    <t>permute_cols</t>
  </si>
  <si>
    <t>pos_encoding_kernels.cu</t>
  </si>
  <si>
    <t>rotary_embedding</t>
  </si>
  <si>
    <t>attention/paged_attention_v2.cu</t>
  </si>
  <si>
    <t>paged_attention_v2</t>
  </si>
  <si>
    <t>attention/paged_attention_v1.cu</t>
  </si>
  <si>
    <t>paged_attention_v1</t>
  </si>
  <si>
    <t>attention/merge_attn_states.cu</t>
  </si>
  <si>
    <t>merge_attn_states</t>
  </si>
  <si>
    <t>moe/topk_softmax_kernels.cu</t>
  </si>
  <si>
    <t>topk_softmax</t>
  </si>
  <si>
    <t>moe/moe_align_sum_kernels.cu</t>
  </si>
  <si>
    <t>moe_align_block_size</t>
  </si>
  <si>
    <t>sgl_moe_align_block_size</t>
  </si>
  <si>
    <t>moe_sum</t>
  </si>
  <si>
    <t>moe/moe_wna16.cu</t>
  </si>
  <si>
    <t>moe_wna16_gemm</t>
  </si>
  <si>
    <t>moe/marlin_moe_wna16/ops.cu</t>
  </si>
  <si>
    <t>moe_wna16_marlin_gemm</t>
  </si>
  <si>
    <t>prepare_inputs/advance_step.cu</t>
  </si>
  <si>
    <t>advance_step_flashattn</t>
  </si>
  <si>
    <t>advance_step_flashinfer</t>
  </si>
  <si>
    <t>mamba/mamba_ssm/selective_scan_fwd.cu</t>
  </si>
  <si>
    <t>selective_scan_fwd</t>
  </si>
  <si>
    <t>mamba/causal_conv1d/causal_conv1d.cu</t>
  </si>
  <si>
    <t>causal_conv1d_fwd</t>
  </si>
  <si>
    <t>causal_conv1d_update</t>
  </si>
  <si>
    <t>quantization/awq/gemm_kernels.cu</t>
  </si>
  <si>
    <t>awq_dequantize</t>
  </si>
  <si>
    <t>awq_gemm</t>
  </si>
  <si>
    <t>quantization/gptq_marlin/gptq_marlin_repack.cu</t>
  </si>
  <si>
    <t>gptq_marlin_repack</t>
  </si>
  <si>
    <t>quantization/gptq_marlin/gptq_marlin.cu</t>
  </si>
  <si>
    <t>gptq_marlin_gemm</t>
  </si>
  <si>
    <t>quantization/gptq_marlin/awq_marlin_repack.cu</t>
  </si>
  <si>
    <t>awq_marlin_repack</t>
  </si>
  <si>
    <t>quantization/fp8/common.cu</t>
  </si>
  <si>
    <t>static_scaled_fp8_quant</t>
  </si>
  <si>
    <t>dynamic_scaled_fp8_quant</t>
  </si>
  <si>
    <t>dynamic_per_token_scaled_fp8_quant</t>
  </si>
  <si>
    <t>quantization/aqlm/gemm_kernels.cu</t>
  </si>
  <si>
    <t>aqlm_gemm</t>
  </si>
  <si>
    <t>aqlm_dequant</t>
  </si>
  <si>
    <t>quantization/compressed_tensors/int8_quant_kernels.cu</t>
  </si>
  <si>
    <t>static_scaled_int8_quant</t>
  </si>
  <si>
    <t>dynamic_scaled_int8_quant</t>
  </si>
  <si>
    <t>quantization/gptq_allspark/allspark_repack.cu</t>
  </si>
  <si>
    <t>rearrange_kn_weight_as_n32k16_order</t>
  </si>
  <si>
    <t>quantization/gptq_allspark/allspark_qgemm_w8a16.cu</t>
  </si>
  <si>
    <t>allspark_w8a16_gemm</t>
  </si>
  <si>
    <t>quantization/cutlass_w8a8/scaled_mm_entry.cu</t>
  </si>
  <si>
    <t>get_cutlass_moe_mm_data</t>
  </si>
  <si>
    <t>quantization/gptq/q_gemm.cu</t>
  </si>
  <si>
    <t>gptq_gemm</t>
  </si>
  <si>
    <t>gptq_shuffle</t>
  </si>
  <si>
    <t>quantization/marlin/qqq/marlin_qqq_gemm_kernel.cu</t>
  </si>
  <si>
    <t>marlin_qqq_gemm</t>
  </si>
  <si>
    <t>quantization/marlin/dense/marlin_cuda_kernel.cu</t>
  </si>
  <si>
    <t>marlin_gemm</t>
  </si>
  <si>
    <t>quantization/marlin/sparse/marlin_24_cuda_kernel.cu</t>
  </si>
  <si>
    <t>gptq_marlin_24_gemm</t>
  </si>
  <si>
    <t>time(seconds)</t>
  </si>
  <si>
    <t>total</t>
  </si>
  <si>
    <t>kernel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</si>
</sst>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19FF-C78E-4C5A-A2BA-B893FFAC991F}">
  <dimension ref="A1:N56"/>
  <sheetViews>
    <sheetView tabSelected="1" workbookViewId="0">
      <selection activeCell="C2" sqref="C2"/>
    </sheetView>
  </sheetViews>
  <sheetFormatPr defaultRowHeight="14.5" x14ac:dyDescent="0.35"/>
  <cols>
    <col min="2" max="2" width="25.1796875" customWidth="1"/>
    <col min="3" max="3" width="24.08984375" customWidth="1"/>
    <col min="10" max="10" width="11.7265625" customWidth="1"/>
    <col min="11" max="13" width="10.36328125" customWidth="1"/>
    <col min="14" max="14" width="11.6328125" customWidth="1"/>
  </cols>
  <sheetData>
    <row r="1" spans="1:14" ht="15" customHeight="1" x14ac:dyDescent="0.35">
      <c r="D1" s="4" t="s">
        <v>2</v>
      </c>
      <c r="E1" s="4"/>
      <c r="F1" s="4" t="s">
        <v>5</v>
      </c>
      <c r="G1" s="4"/>
      <c r="H1" s="4" t="s">
        <v>6</v>
      </c>
      <c r="I1" s="4"/>
      <c r="J1" s="4" t="s">
        <v>7</v>
      </c>
      <c r="K1" s="4"/>
      <c r="L1" s="4" t="s">
        <v>90</v>
      </c>
      <c r="M1" s="4"/>
    </row>
    <row r="2" spans="1:14" x14ac:dyDescent="0.35">
      <c r="A2" t="s">
        <v>0</v>
      </c>
      <c r="B2" t="s">
        <v>1</v>
      </c>
      <c r="C2" t="s">
        <v>91</v>
      </c>
      <c r="D2" s="2" t="s">
        <v>3</v>
      </c>
      <c r="E2" s="2" t="s">
        <v>4</v>
      </c>
      <c r="F2" s="2" t="s">
        <v>3</v>
      </c>
      <c r="G2" s="2" t="s">
        <v>4</v>
      </c>
      <c r="H2" s="2" t="s">
        <v>3</v>
      </c>
      <c r="I2" s="2" t="s">
        <v>4</v>
      </c>
      <c r="J2" s="2" t="s">
        <v>3</v>
      </c>
      <c r="K2" t="s">
        <v>4</v>
      </c>
      <c r="L2" s="2" t="s">
        <v>3</v>
      </c>
      <c r="M2" s="2" t="s">
        <v>4</v>
      </c>
      <c r="N2" t="s">
        <v>89</v>
      </c>
    </row>
    <row r="3" spans="1:14" s="1" customFormat="1" x14ac:dyDescent="0.35"/>
    <row r="4" spans="1:14" x14ac:dyDescent="0.35">
      <c r="A4">
        <v>1</v>
      </c>
      <c r="B4" t="s">
        <v>8</v>
      </c>
      <c r="C4" t="s">
        <v>9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f>D4+F4+H4+J4</f>
        <v>0</v>
      </c>
      <c r="M4">
        <f>E4+G4+I4+K4</f>
        <v>2</v>
      </c>
      <c r="N4">
        <v>51</v>
      </c>
    </row>
    <row r="5" spans="1:14" x14ac:dyDescent="0.35">
      <c r="A5">
        <v>2</v>
      </c>
      <c r="B5" t="s">
        <v>8</v>
      </c>
      <c r="C5" t="s">
        <v>10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f t="shared" ref="L5:L55" si="0">D5+F5+H5+J5</f>
        <v>0</v>
      </c>
      <c r="M5">
        <f t="shared" ref="M5:M55" si="1">E5+G5+I5+K5</f>
        <v>2</v>
      </c>
      <c r="N5">
        <v>57</v>
      </c>
    </row>
    <row r="6" spans="1:14" x14ac:dyDescent="0.35">
      <c r="A6">
        <v>3</v>
      </c>
      <c r="B6" t="s">
        <v>8</v>
      </c>
      <c r="C6" t="s">
        <v>11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f t="shared" si="0"/>
        <v>0</v>
      </c>
      <c r="M6">
        <f t="shared" si="1"/>
        <v>2</v>
      </c>
      <c r="N6">
        <v>70</v>
      </c>
    </row>
    <row r="7" spans="1:14" x14ac:dyDescent="0.35">
      <c r="A7">
        <v>4</v>
      </c>
      <c r="B7" t="s">
        <v>8</v>
      </c>
      <c r="C7" t="s">
        <v>12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f t="shared" si="0"/>
        <v>0</v>
      </c>
      <c r="M7">
        <f t="shared" si="1"/>
        <v>2</v>
      </c>
      <c r="N7">
        <v>60</v>
      </c>
    </row>
    <row r="8" spans="1:14" x14ac:dyDescent="0.35">
      <c r="A8">
        <v>5</v>
      </c>
      <c r="B8" t="s">
        <v>8</v>
      </c>
      <c r="C8" t="s">
        <v>13</v>
      </c>
      <c r="D8">
        <v>0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f t="shared" si="0"/>
        <v>0</v>
      </c>
      <c r="M8">
        <f t="shared" si="1"/>
        <v>2</v>
      </c>
      <c r="N8">
        <v>105</v>
      </c>
    </row>
    <row r="9" spans="1:14" x14ac:dyDescent="0.35">
      <c r="A9">
        <v>6</v>
      </c>
      <c r="B9" t="s">
        <v>8</v>
      </c>
      <c r="C9" t="s">
        <v>14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f t="shared" si="0"/>
        <v>0</v>
      </c>
      <c r="M9">
        <f t="shared" si="1"/>
        <v>2</v>
      </c>
      <c r="N9">
        <v>18</v>
      </c>
    </row>
    <row r="10" spans="1:14" x14ac:dyDescent="0.35">
      <c r="A10">
        <v>7</v>
      </c>
      <c r="B10" t="s">
        <v>8</v>
      </c>
      <c r="C10" t="s">
        <v>15</v>
      </c>
      <c r="D10">
        <v>0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f t="shared" si="0"/>
        <v>0</v>
      </c>
      <c r="M10">
        <f t="shared" si="1"/>
        <v>2</v>
      </c>
      <c r="N10">
        <v>30</v>
      </c>
    </row>
    <row r="11" spans="1:14" x14ac:dyDescent="0.35">
      <c r="A11">
        <v>8</v>
      </c>
      <c r="B11" t="s">
        <v>8</v>
      </c>
      <c r="C11" t="s">
        <v>16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f t="shared" si="0"/>
        <v>0</v>
      </c>
      <c r="M11">
        <f t="shared" si="1"/>
        <v>2</v>
      </c>
      <c r="N11">
        <v>82</v>
      </c>
    </row>
    <row r="12" spans="1:14" x14ac:dyDescent="0.35">
      <c r="A12">
        <v>9</v>
      </c>
      <c r="B12" t="s">
        <v>17</v>
      </c>
      <c r="C12" t="s">
        <v>18</v>
      </c>
      <c r="D12">
        <v>1</v>
      </c>
      <c r="E12">
        <v>4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f t="shared" si="0"/>
        <v>1</v>
      </c>
      <c r="M12">
        <f t="shared" si="1"/>
        <v>6</v>
      </c>
      <c r="N12">
        <v>3600</v>
      </c>
    </row>
    <row r="13" spans="1:14" x14ac:dyDescent="0.35">
      <c r="A13">
        <v>10</v>
      </c>
      <c r="B13" t="s">
        <v>17</v>
      </c>
      <c r="C13" t="s">
        <v>19</v>
      </c>
      <c r="D13">
        <v>0</v>
      </c>
      <c r="E13">
        <v>7</v>
      </c>
      <c r="F13">
        <v>0</v>
      </c>
      <c r="G13">
        <v>5</v>
      </c>
      <c r="H13">
        <v>0</v>
      </c>
      <c r="I13">
        <v>0</v>
      </c>
      <c r="J13">
        <v>0</v>
      </c>
      <c r="K13">
        <v>0</v>
      </c>
      <c r="L13">
        <f t="shared" si="0"/>
        <v>0</v>
      </c>
      <c r="M13">
        <f t="shared" si="1"/>
        <v>12</v>
      </c>
      <c r="N13">
        <v>3071</v>
      </c>
    </row>
    <row r="14" spans="1:14" x14ac:dyDescent="0.35">
      <c r="A14">
        <v>11</v>
      </c>
      <c r="B14" t="s">
        <v>21</v>
      </c>
      <c r="C14" t="s">
        <v>23</v>
      </c>
      <c r="D14">
        <v>0</v>
      </c>
      <c r="E14">
        <v>6</v>
      </c>
      <c r="F14">
        <v>0</v>
      </c>
      <c r="G14">
        <v>5</v>
      </c>
      <c r="H14">
        <v>0</v>
      </c>
      <c r="I14">
        <v>2</v>
      </c>
      <c r="J14">
        <v>0</v>
      </c>
      <c r="K14">
        <v>0</v>
      </c>
      <c r="L14">
        <f t="shared" si="0"/>
        <v>0</v>
      </c>
      <c r="M14">
        <f t="shared" si="1"/>
        <v>13</v>
      </c>
      <c r="N14">
        <v>311</v>
      </c>
    </row>
    <row r="15" spans="1:14" x14ac:dyDescent="0.35">
      <c r="A15">
        <v>12</v>
      </c>
      <c r="B15" t="s">
        <v>21</v>
      </c>
      <c r="C15" t="s">
        <v>24</v>
      </c>
      <c r="D15">
        <v>0</v>
      </c>
      <c r="E15">
        <v>4</v>
      </c>
      <c r="F15">
        <v>0</v>
      </c>
      <c r="G15">
        <v>15</v>
      </c>
      <c r="H15">
        <v>0</v>
      </c>
      <c r="I15">
        <v>6</v>
      </c>
      <c r="J15">
        <v>0</v>
      </c>
      <c r="K15">
        <v>0</v>
      </c>
      <c r="L15">
        <f t="shared" si="0"/>
        <v>0</v>
      </c>
      <c r="M15">
        <f t="shared" si="1"/>
        <v>25</v>
      </c>
      <c r="N15">
        <v>47</v>
      </c>
    </row>
    <row r="16" spans="1:14" x14ac:dyDescent="0.35">
      <c r="A16">
        <v>13</v>
      </c>
      <c r="B16" t="s">
        <v>21</v>
      </c>
      <c r="C16" t="s">
        <v>25</v>
      </c>
      <c r="D16">
        <v>0</v>
      </c>
      <c r="E16">
        <v>8</v>
      </c>
      <c r="F16">
        <v>0</v>
      </c>
      <c r="G16">
        <v>13</v>
      </c>
      <c r="H16">
        <v>0</v>
      </c>
      <c r="I16">
        <v>6</v>
      </c>
      <c r="J16">
        <v>0</v>
      </c>
      <c r="K16">
        <v>0</v>
      </c>
      <c r="L16">
        <f t="shared" si="0"/>
        <v>0</v>
      </c>
      <c r="M16">
        <f t="shared" si="1"/>
        <v>27</v>
      </c>
      <c r="N16">
        <v>28</v>
      </c>
    </row>
    <row r="17" spans="1:14" x14ac:dyDescent="0.35">
      <c r="A17">
        <v>14</v>
      </c>
      <c r="B17" t="s">
        <v>21</v>
      </c>
      <c r="C17" t="s">
        <v>26</v>
      </c>
      <c r="D17">
        <v>0</v>
      </c>
      <c r="E17">
        <v>16</v>
      </c>
      <c r="F17">
        <v>2</v>
      </c>
      <c r="G17">
        <v>25</v>
      </c>
      <c r="H17">
        <v>0</v>
      </c>
      <c r="I17">
        <v>6</v>
      </c>
      <c r="J17">
        <v>0</v>
      </c>
      <c r="K17">
        <v>0</v>
      </c>
      <c r="L17">
        <f t="shared" si="0"/>
        <v>2</v>
      </c>
      <c r="M17">
        <f t="shared" si="1"/>
        <v>47</v>
      </c>
      <c r="N17">
        <v>2934</v>
      </c>
    </row>
    <row r="18" spans="1:14" x14ac:dyDescent="0.35">
      <c r="A18">
        <v>15</v>
      </c>
      <c r="B18" t="s">
        <v>27</v>
      </c>
      <c r="C18" t="s">
        <v>28</v>
      </c>
      <c r="D18">
        <v>0</v>
      </c>
      <c r="E18">
        <v>3</v>
      </c>
      <c r="F18">
        <v>0</v>
      </c>
      <c r="G18">
        <v>4</v>
      </c>
      <c r="H18">
        <v>0</v>
      </c>
      <c r="I18">
        <v>0</v>
      </c>
      <c r="J18">
        <v>0</v>
      </c>
      <c r="K18">
        <v>0</v>
      </c>
      <c r="L18">
        <f t="shared" si="0"/>
        <v>0</v>
      </c>
      <c r="M18">
        <f t="shared" si="1"/>
        <v>7</v>
      </c>
      <c r="N18">
        <v>63</v>
      </c>
    </row>
    <row r="19" spans="1:14" x14ac:dyDescent="0.35">
      <c r="A19">
        <v>16</v>
      </c>
      <c r="B19" t="s">
        <v>29</v>
      </c>
      <c r="C19" t="s">
        <v>30</v>
      </c>
      <c r="D19">
        <v>0</v>
      </c>
      <c r="E19">
        <v>13</v>
      </c>
      <c r="F19">
        <v>0</v>
      </c>
      <c r="G19">
        <v>34</v>
      </c>
      <c r="H19">
        <v>0</v>
      </c>
      <c r="I19">
        <v>16</v>
      </c>
      <c r="J19">
        <v>0</v>
      </c>
      <c r="K19">
        <v>0</v>
      </c>
      <c r="L19">
        <f t="shared" si="0"/>
        <v>0</v>
      </c>
      <c r="M19">
        <f t="shared" si="1"/>
        <v>63</v>
      </c>
      <c r="N19">
        <v>3600</v>
      </c>
    </row>
    <row r="20" spans="1:14" x14ac:dyDescent="0.35">
      <c r="A20">
        <v>17</v>
      </c>
      <c r="B20" t="s">
        <v>31</v>
      </c>
      <c r="C20" t="s">
        <v>32</v>
      </c>
      <c r="D20">
        <v>0</v>
      </c>
      <c r="E20">
        <v>1350</v>
      </c>
      <c r="F20">
        <v>0</v>
      </c>
      <c r="G20">
        <v>551</v>
      </c>
      <c r="H20">
        <v>0</v>
      </c>
      <c r="I20">
        <v>0</v>
      </c>
      <c r="J20">
        <v>0</v>
      </c>
      <c r="K20">
        <v>0</v>
      </c>
      <c r="L20">
        <f t="shared" si="0"/>
        <v>0</v>
      </c>
      <c r="M20">
        <f t="shared" si="1"/>
        <v>1901</v>
      </c>
      <c r="N20">
        <v>3600</v>
      </c>
    </row>
    <row r="21" spans="1:14" x14ac:dyDescent="0.35">
      <c r="A21">
        <v>18</v>
      </c>
      <c r="B21" t="s">
        <v>33</v>
      </c>
      <c r="C21" t="s">
        <v>34</v>
      </c>
      <c r="D21">
        <v>0</v>
      </c>
      <c r="E21">
        <v>988</v>
      </c>
      <c r="F21">
        <v>0</v>
      </c>
      <c r="G21">
        <v>421</v>
      </c>
      <c r="H21">
        <v>0</v>
      </c>
      <c r="I21">
        <v>0</v>
      </c>
      <c r="J21">
        <v>0</v>
      </c>
      <c r="K21">
        <v>0</v>
      </c>
      <c r="L21">
        <f t="shared" si="0"/>
        <v>0</v>
      </c>
      <c r="M21">
        <f t="shared" si="1"/>
        <v>1409</v>
      </c>
      <c r="N21">
        <v>3600</v>
      </c>
    </row>
    <row r="22" spans="1:14" x14ac:dyDescent="0.35">
      <c r="A22">
        <v>19</v>
      </c>
      <c r="B22" t="s">
        <v>35</v>
      </c>
      <c r="C22" t="s">
        <v>36</v>
      </c>
      <c r="D22">
        <v>0</v>
      </c>
      <c r="E22">
        <v>18</v>
      </c>
      <c r="F22">
        <v>0</v>
      </c>
      <c r="G22">
        <v>18</v>
      </c>
      <c r="H22">
        <v>0</v>
      </c>
      <c r="I22">
        <v>0</v>
      </c>
      <c r="J22">
        <v>0</v>
      </c>
      <c r="K22">
        <v>0</v>
      </c>
      <c r="L22">
        <f t="shared" si="0"/>
        <v>0</v>
      </c>
      <c r="M22">
        <f t="shared" si="1"/>
        <v>36</v>
      </c>
      <c r="N22">
        <v>45</v>
      </c>
    </row>
    <row r="23" spans="1:14" x14ac:dyDescent="0.35">
      <c r="A23">
        <v>20</v>
      </c>
      <c r="B23" t="s">
        <v>37</v>
      </c>
      <c r="C23" t="s">
        <v>38</v>
      </c>
      <c r="D23">
        <v>0</v>
      </c>
      <c r="E23">
        <v>56</v>
      </c>
      <c r="F23">
        <v>0</v>
      </c>
      <c r="G23">
        <v>12</v>
      </c>
      <c r="H23">
        <v>0</v>
      </c>
      <c r="I23">
        <v>0</v>
      </c>
      <c r="J23">
        <v>0</v>
      </c>
      <c r="K23">
        <v>0</v>
      </c>
      <c r="L23">
        <f t="shared" si="0"/>
        <v>0</v>
      </c>
      <c r="M23">
        <f t="shared" si="1"/>
        <v>68</v>
      </c>
      <c r="N23">
        <v>3600</v>
      </c>
    </row>
    <row r="24" spans="1:14" x14ac:dyDescent="0.35">
      <c r="A24">
        <v>21</v>
      </c>
      <c r="B24" t="s">
        <v>39</v>
      </c>
      <c r="C24" t="s">
        <v>40</v>
      </c>
      <c r="D24">
        <v>0</v>
      </c>
      <c r="E24">
        <v>229</v>
      </c>
      <c r="F24">
        <v>2</v>
      </c>
      <c r="G24">
        <v>142</v>
      </c>
      <c r="H24">
        <v>0</v>
      </c>
      <c r="I24">
        <v>18</v>
      </c>
      <c r="J24">
        <v>0</v>
      </c>
      <c r="K24">
        <v>0</v>
      </c>
      <c r="L24">
        <f t="shared" si="0"/>
        <v>2</v>
      </c>
      <c r="M24">
        <f t="shared" si="1"/>
        <v>389</v>
      </c>
      <c r="N24">
        <v>3029</v>
      </c>
    </row>
    <row r="25" spans="1:14" x14ac:dyDescent="0.35">
      <c r="A25">
        <v>22</v>
      </c>
      <c r="B25" t="s">
        <v>39</v>
      </c>
      <c r="C25" t="s">
        <v>41</v>
      </c>
      <c r="D25">
        <v>0</v>
      </c>
      <c r="E25">
        <v>50</v>
      </c>
      <c r="F25">
        <v>2</v>
      </c>
      <c r="G25">
        <v>36</v>
      </c>
      <c r="H25">
        <v>0</v>
      </c>
      <c r="I25">
        <v>8</v>
      </c>
      <c r="J25">
        <v>0</v>
      </c>
      <c r="K25">
        <v>0</v>
      </c>
      <c r="L25">
        <f t="shared" si="0"/>
        <v>2</v>
      </c>
      <c r="M25">
        <f t="shared" si="1"/>
        <v>94</v>
      </c>
      <c r="N25">
        <v>3600</v>
      </c>
    </row>
    <row r="26" spans="1:14" x14ac:dyDescent="0.35">
      <c r="A26">
        <v>23</v>
      </c>
      <c r="B26" t="s">
        <v>39</v>
      </c>
      <c r="C26" t="s">
        <v>42</v>
      </c>
      <c r="D26">
        <v>0</v>
      </c>
      <c r="E26">
        <v>2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f t="shared" si="0"/>
        <v>0</v>
      </c>
      <c r="M26">
        <f t="shared" si="1"/>
        <v>3</v>
      </c>
      <c r="N26">
        <v>113</v>
      </c>
    </row>
    <row r="27" spans="1:14" x14ac:dyDescent="0.35">
      <c r="A27">
        <v>24</v>
      </c>
      <c r="B27" t="s">
        <v>43</v>
      </c>
      <c r="C27" t="s">
        <v>44</v>
      </c>
      <c r="D27">
        <v>0</v>
      </c>
      <c r="E27">
        <v>58</v>
      </c>
      <c r="F27">
        <v>3</v>
      </c>
      <c r="G27">
        <v>50</v>
      </c>
      <c r="H27">
        <v>0</v>
      </c>
      <c r="I27">
        <v>0</v>
      </c>
      <c r="J27">
        <v>0</v>
      </c>
      <c r="K27">
        <v>0</v>
      </c>
      <c r="L27">
        <f t="shared" si="0"/>
        <v>3</v>
      </c>
      <c r="M27">
        <f t="shared" si="1"/>
        <v>108</v>
      </c>
      <c r="N27">
        <v>3600</v>
      </c>
    </row>
    <row r="28" spans="1:14" x14ac:dyDescent="0.35">
      <c r="A28">
        <v>25</v>
      </c>
      <c r="B28" t="s">
        <v>45</v>
      </c>
      <c r="C28" t="s">
        <v>46</v>
      </c>
      <c r="D28">
        <v>0</v>
      </c>
      <c r="E28">
        <v>5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f t="shared" si="0"/>
        <v>0</v>
      </c>
      <c r="M28">
        <f t="shared" si="1"/>
        <v>6</v>
      </c>
      <c r="N28">
        <v>3600</v>
      </c>
    </row>
    <row r="29" spans="1:14" x14ac:dyDescent="0.35">
      <c r="A29">
        <v>26</v>
      </c>
      <c r="B29" t="s">
        <v>47</v>
      </c>
      <c r="C29" t="s">
        <v>48</v>
      </c>
      <c r="D29">
        <v>0</v>
      </c>
      <c r="E29">
        <v>9</v>
      </c>
      <c r="F29">
        <v>1</v>
      </c>
      <c r="G29">
        <v>8</v>
      </c>
      <c r="H29">
        <v>0</v>
      </c>
      <c r="I29">
        <v>0</v>
      </c>
      <c r="J29">
        <v>0</v>
      </c>
      <c r="K29">
        <v>0</v>
      </c>
      <c r="L29">
        <f t="shared" si="0"/>
        <v>1</v>
      </c>
      <c r="M29">
        <f t="shared" si="1"/>
        <v>17</v>
      </c>
      <c r="N29">
        <v>13</v>
      </c>
    </row>
    <row r="30" spans="1:14" x14ac:dyDescent="0.35">
      <c r="A30">
        <v>27</v>
      </c>
      <c r="B30" t="s">
        <v>47</v>
      </c>
      <c r="C30" t="s">
        <v>49</v>
      </c>
      <c r="D30">
        <v>0</v>
      </c>
      <c r="E30">
        <v>13</v>
      </c>
      <c r="F30">
        <v>2</v>
      </c>
      <c r="G30">
        <v>18</v>
      </c>
      <c r="H30">
        <v>0</v>
      </c>
      <c r="I30">
        <v>1</v>
      </c>
      <c r="J30">
        <v>0</v>
      </c>
      <c r="K30">
        <v>0</v>
      </c>
      <c r="L30">
        <f t="shared" si="0"/>
        <v>2</v>
      </c>
      <c r="M30">
        <f t="shared" si="1"/>
        <v>32</v>
      </c>
      <c r="N30">
        <v>322</v>
      </c>
    </row>
    <row r="31" spans="1:14" x14ac:dyDescent="0.35">
      <c r="A31">
        <v>28</v>
      </c>
      <c r="B31" t="s">
        <v>50</v>
      </c>
      <c r="C31" t="s">
        <v>51</v>
      </c>
      <c r="D31">
        <v>1</v>
      </c>
      <c r="E31">
        <v>253</v>
      </c>
      <c r="F31">
        <v>0</v>
      </c>
      <c r="G31">
        <v>124</v>
      </c>
      <c r="H31">
        <v>0</v>
      </c>
      <c r="I31">
        <v>0</v>
      </c>
      <c r="J31">
        <v>0</v>
      </c>
      <c r="K31">
        <v>0</v>
      </c>
      <c r="L31">
        <f t="shared" si="0"/>
        <v>1</v>
      </c>
      <c r="M31">
        <f t="shared" si="1"/>
        <v>377</v>
      </c>
      <c r="N31">
        <v>3600</v>
      </c>
    </row>
    <row r="32" spans="1:14" x14ac:dyDescent="0.35">
      <c r="A32">
        <v>29</v>
      </c>
      <c r="B32" t="s">
        <v>52</v>
      </c>
      <c r="C32" t="s">
        <v>53</v>
      </c>
      <c r="D32">
        <v>1</v>
      </c>
      <c r="E32">
        <v>121</v>
      </c>
      <c r="F32">
        <v>0</v>
      </c>
      <c r="G32">
        <v>82</v>
      </c>
      <c r="H32">
        <v>0</v>
      </c>
      <c r="I32">
        <v>1</v>
      </c>
      <c r="J32">
        <v>0</v>
      </c>
      <c r="K32">
        <v>0</v>
      </c>
      <c r="L32">
        <f t="shared" si="0"/>
        <v>1</v>
      </c>
      <c r="M32">
        <f t="shared" si="1"/>
        <v>204</v>
      </c>
      <c r="N32">
        <v>3600</v>
      </c>
    </row>
    <row r="33" spans="1:14" x14ac:dyDescent="0.35">
      <c r="A33">
        <v>30</v>
      </c>
      <c r="B33" t="s">
        <v>52</v>
      </c>
      <c r="C33" t="s">
        <v>54</v>
      </c>
      <c r="D33">
        <v>0</v>
      </c>
      <c r="E33">
        <v>140</v>
      </c>
      <c r="F33">
        <v>0</v>
      </c>
      <c r="G33">
        <v>54</v>
      </c>
      <c r="H33">
        <v>0</v>
      </c>
      <c r="I33">
        <v>0</v>
      </c>
      <c r="J33">
        <v>0</v>
      </c>
      <c r="K33">
        <v>0</v>
      </c>
      <c r="L33">
        <f t="shared" si="0"/>
        <v>0</v>
      </c>
      <c r="M33">
        <f t="shared" si="1"/>
        <v>194</v>
      </c>
      <c r="N33">
        <v>3241</v>
      </c>
    </row>
    <row r="34" spans="1:14" x14ac:dyDescent="0.35">
      <c r="A34">
        <v>31</v>
      </c>
      <c r="B34" t="s">
        <v>55</v>
      </c>
      <c r="C34" t="s">
        <v>56</v>
      </c>
      <c r="D34">
        <v>0</v>
      </c>
      <c r="E34">
        <v>6</v>
      </c>
      <c r="F34">
        <v>0</v>
      </c>
      <c r="G34">
        <v>4</v>
      </c>
      <c r="H34">
        <v>0</v>
      </c>
      <c r="I34">
        <v>0</v>
      </c>
      <c r="J34">
        <v>0</v>
      </c>
      <c r="K34">
        <v>0</v>
      </c>
      <c r="L34">
        <f t="shared" si="0"/>
        <v>0</v>
      </c>
      <c r="M34">
        <f t="shared" si="1"/>
        <v>10</v>
      </c>
      <c r="N34">
        <v>55</v>
      </c>
    </row>
    <row r="35" spans="1:14" x14ac:dyDescent="0.35">
      <c r="A35">
        <v>32</v>
      </c>
      <c r="B35" t="s">
        <v>55</v>
      </c>
      <c r="C35" t="s">
        <v>57</v>
      </c>
      <c r="D35">
        <v>0</v>
      </c>
      <c r="E35">
        <v>11</v>
      </c>
      <c r="F35">
        <v>0</v>
      </c>
      <c r="G35">
        <v>5</v>
      </c>
      <c r="H35">
        <v>0</v>
      </c>
      <c r="I35">
        <v>0</v>
      </c>
      <c r="J35">
        <v>0</v>
      </c>
      <c r="K35">
        <v>0</v>
      </c>
      <c r="L35">
        <f t="shared" si="0"/>
        <v>0</v>
      </c>
      <c r="M35">
        <f t="shared" si="1"/>
        <v>16</v>
      </c>
      <c r="N35">
        <v>3412</v>
      </c>
    </row>
    <row r="36" spans="1:14" x14ac:dyDescent="0.35">
      <c r="A36">
        <v>33</v>
      </c>
      <c r="B36" t="s">
        <v>58</v>
      </c>
      <c r="C36" t="s">
        <v>59</v>
      </c>
      <c r="D36">
        <v>0</v>
      </c>
      <c r="E36">
        <v>14</v>
      </c>
      <c r="F36">
        <v>0</v>
      </c>
      <c r="G36">
        <v>6</v>
      </c>
      <c r="H36">
        <v>0</v>
      </c>
      <c r="I36">
        <v>0</v>
      </c>
      <c r="J36">
        <v>0</v>
      </c>
      <c r="K36">
        <v>0</v>
      </c>
      <c r="L36">
        <f t="shared" si="0"/>
        <v>0</v>
      </c>
      <c r="M36">
        <f t="shared" si="1"/>
        <v>20</v>
      </c>
      <c r="N36">
        <v>3600</v>
      </c>
    </row>
    <row r="37" spans="1:14" x14ac:dyDescent="0.35">
      <c r="A37">
        <v>34</v>
      </c>
      <c r="B37" t="s">
        <v>60</v>
      </c>
      <c r="C37" t="s">
        <v>61</v>
      </c>
      <c r="D37">
        <v>0</v>
      </c>
      <c r="E37">
        <v>15</v>
      </c>
      <c r="F37">
        <v>1</v>
      </c>
      <c r="G37">
        <v>4</v>
      </c>
      <c r="H37">
        <v>0</v>
      </c>
      <c r="I37">
        <v>0</v>
      </c>
      <c r="J37">
        <v>0</v>
      </c>
      <c r="K37">
        <v>0</v>
      </c>
      <c r="L37">
        <f t="shared" si="0"/>
        <v>1</v>
      </c>
      <c r="M37">
        <f t="shared" si="1"/>
        <v>19</v>
      </c>
      <c r="N37">
        <v>3600</v>
      </c>
    </row>
    <row r="38" spans="1:14" x14ac:dyDescent="0.35">
      <c r="A38">
        <v>35</v>
      </c>
      <c r="B38" t="s">
        <v>62</v>
      </c>
      <c r="C38" t="s">
        <v>63</v>
      </c>
      <c r="D38">
        <v>0</v>
      </c>
      <c r="E38">
        <v>14</v>
      </c>
      <c r="F38">
        <v>0</v>
      </c>
      <c r="G38">
        <v>4</v>
      </c>
      <c r="H38">
        <v>0</v>
      </c>
      <c r="I38">
        <v>0</v>
      </c>
      <c r="J38">
        <v>0</v>
      </c>
      <c r="K38">
        <v>0</v>
      </c>
      <c r="L38">
        <f t="shared" si="0"/>
        <v>0</v>
      </c>
      <c r="M38">
        <f t="shared" si="1"/>
        <v>18</v>
      </c>
      <c r="N38">
        <v>3600</v>
      </c>
    </row>
    <row r="39" spans="1:14" x14ac:dyDescent="0.35">
      <c r="A39">
        <v>36</v>
      </c>
      <c r="B39" t="s">
        <v>64</v>
      </c>
      <c r="C39" t="s">
        <v>65</v>
      </c>
      <c r="D39">
        <v>2</v>
      </c>
      <c r="E39">
        <v>5</v>
      </c>
      <c r="F39">
        <v>0</v>
      </c>
      <c r="G39">
        <v>9</v>
      </c>
      <c r="H39">
        <v>0</v>
      </c>
      <c r="I39">
        <v>0</v>
      </c>
      <c r="J39">
        <v>0</v>
      </c>
      <c r="K39">
        <v>0</v>
      </c>
      <c r="L39">
        <f t="shared" si="0"/>
        <v>2</v>
      </c>
      <c r="M39">
        <f t="shared" si="1"/>
        <v>14</v>
      </c>
      <c r="N39">
        <v>11895</v>
      </c>
    </row>
    <row r="40" spans="1:14" x14ac:dyDescent="0.35">
      <c r="A40">
        <v>37</v>
      </c>
      <c r="B40" t="s">
        <v>64</v>
      </c>
      <c r="C40" t="s">
        <v>66</v>
      </c>
      <c r="D40">
        <v>2</v>
      </c>
      <c r="E40">
        <v>5</v>
      </c>
      <c r="F40">
        <v>0</v>
      </c>
      <c r="G40">
        <v>12</v>
      </c>
      <c r="H40">
        <v>0</v>
      </c>
      <c r="I40">
        <v>0</v>
      </c>
      <c r="J40">
        <v>0</v>
      </c>
      <c r="K40">
        <v>0</v>
      </c>
      <c r="L40">
        <f t="shared" si="0"/>
        <v>2</v>
      </c>
      <c r="M40">
        <f t="shared" si="1"/>
        <v>17</v>
      </c>
      <c r="N40">
        <v>47417</v>
      </c>
    </row>
    <row r="41" spans="1:14" x14ac:dyDescent="0.35">
      <c r="A41">
        <v>38</v>
      </c>
      <c r="B41" t="s">
        <v>64</v>
      </c>
      <c r="C41" t="s">
        <v>67</v>
      </c>
      <c r="D41">
        <v>0</v>
      </c>
      <c r="E41">
        <v>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f t="shared" si="0"/>
        <v>0</v>
      </c>
      <c r="M41">
        <f t="shared" si="1"/>
        <v>4</v>
      </c>
      <c r="N41">
        <v>3600</v>
      </c>
    </row>
    <row r="42" spans="1:14" x14ac:dyDescent="0.35">
      <c r="A42">
        <v>39</v>
      </c>
      <c r="B42" t="s">
        <v>68</v>
      </c>
      <c r="C42" t="s">
        <v>69</v>
      </c>
      <c r="D42">
        <v>0</v>
      </c>
      <c r="E42">
        <v>14</v>
      </c>
      <c r="F42">
        <v>0</v>
      </c>
      <c r="G42">
        <v>4</v>
      </c>
      <c r="H42">
        <v>0</v>
      </c>
      <c r="I42">
        <v>2</v>
      </c>
      <c r="J42">
        <v>0</v>
      </c>
      <c r="K42">
        <v>0</v>
      </c>
      <c r="L42">
        <f t="shared" si="0"/>
        <v>0</v>
      </c>
      <c r="M42">
        <f t="shared" si="1"/>
        <v>20</v>
      </c>
      <c r="N42">
        <v>3600</v>
      </c>
    </row>
    <row r="43" spans="1:14" x14ac:dyDescent="0.35">
      <c r="A43">
        <v>40</v>
      </c>
      <c r="B43" t="s">
        <v>68</v>
      </c>
      <c r="C43" t="s">
        <v>70</v>
      </c>
      <c r="D43">
        <v>0</v>
      </c>
      <c r="E43">
        <v>22</v>
      </c>
      <c r="F43">
        <v>0</v>
      </c>
      <c r="G43">
        <v>6</v>
      </c>
      <c r="H43">
        <v>0</v>
      </c>
      <c r="I43">
        <v>0</v>
      </c>
      <c r="J43">
        <v>0</v>
      </c>
      <c r="K43">
        <v>0</v>
      </c>
      <c r="L43">
        <f t="shared" si="0"/>
        <v>0</v>
      </c>
      <c r="M43">
        <f t="shared" si="1"/>
        <v>28</v>
      </c>
      <c r="N43">
        <v>3600</v>
      </c>
    </row>
    <row r="44" spans="1:14" x14ac:dyDescent="0.35">
      <c r="A44">
        <v>41</v>
      </c>
      <c r="B44" t="s">
        <v>71</v>
      </c>
      <c r="C44" t="s">
        <v>72</v>
      </c>
      <c r="D44">
        <v>0</v>
      </c>
      <c r="E44">
        <v>10</v>
      </c>
      <c r="F44">
        <v>0</v>
      </c>
      <c r="G44">
        <v>6</v>
      </c>
      <c r="H44">
        <v>0</v>
      </c>
      <c r="I44">
        <v>0</v>
      </c>
      <c r="J44">
        <v>0</v>
      </c>
      <c r="K44">
        <v>0</v>
      </c>
      <c r="L44">
        <f t="shared" si="0"/>
        <v>0</v>
      </c>
      <c r="M44">
        <f t="shared" si="1"/>
        <v>16</v>
      </c>
      <c r="N44">
        <v>4998</v>
      </c>
    </row>
    <row r="45" spans="1:14" x14ac:dyDescent="0.35">
      <c r="A45">
        <v>42</v>
      </c>
      <c r="B45" t="s">
        <v>71</v>
      </c>
      <c r="C45" t="s">
        <v>73</v>
      </c>
      <c r="D45">
        <v>0</v>
      </c>
      <c r="E45">
        <v>6</v>
      </c>
      <c r="F45">
        <v>0</v>
      </c>
      <c r="G45">
        <v>3</v>
      </c>
      <c r="H45">
        <v>0</v>
      </c>
      <c r="I45">
        <v>0</v>
      </c>
      <c r="J45">
        <v>0</v>
      </c>
      <c r="K45">
        <v>0</v>
      </c>
      <c r="L45">
        <f t="shared" si="0"/>
        <v>0</v>
      </c>
      <c r="M45">
        <f t="shared" si="1"/>
        <v>9</v>
      </c>
      <c r="N45">
        <v>3600</v>
      </c>
    </row>
    <row r="46" spans="1:14" x14ac:dyDescent="0.35">
      <c r="A46">
        <v>43</v>
      </c>
      <c r="B46" t="s">
        <v>74</v>
      </c>
      <c r="C46" t="s">
        <v>75</v>
      </c>
      <c r="D46">
        <v>0</v>
      </c>
      <c r="E46">
        <v>25</v>
      </c>
      <c r="F46">
        <v>0</v>
      </c>
      <c r="G46">
        <v>12</v>
      </c>
      <c r="H46">
        <v>0</v>
      </c>
      <c r="I46">
        <v>0</v>
      </c>
      <c r="J46">
        <v>0</v>
      </c>
      <c r="K46">
        <v>0</v>
      </c>
      <c r="L46">
        <f t="shared" si="0"/>
        <v>0</v>
      </c>
      <c r="M46">
        <f t="shared" si="1"/>
        <v>37</v>
      </c>
      <c r="N46">
        <v>3600</v>
      </c>
    </row>
    <row r="47" spans="1:14" x14ac:dyDescent="0.35">
      <c r="A47">
        <v>44</v>
      </c>
      <c r="B47" t="s">
        <v>76</v>
      </c>
      <c r="C47" t="s">
        <v>77</v>
      </c>
      <c r="D47">
        <v>0</v>
      </c>
      <c r="E47">
        <v>16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f t="shared" si="0"/>
        <v>0</v>
      </c>
      <c r="M47">
        <f t="shared" si="1"/>
        <v>16</v>
      </c>
      <c r="N47">
        <v>392</v>
      </c>
    </row>
    <row r="48" spans="1:14" x14ac:dyDescent="0.35">
      <c r="A48">
        <v>45</v>
      </c>
      <c r="B48" t="s">
        <v>78</v>
      </c>
      <c r="C48" t="s">
        <v>79</v>
      </c>
      <c r="D48">
        <v>0</v>
      </c>
      <c r="E48">
        <v>8</v>
      </c>
      <c r="F48">
        <v>0</v>
      </c>
      <c r="G48">
        <v>13</v>
      </c>
      <c r="H48">
        <v>0</v>
      </c>
      <c r="I48">
        <v>2</v>
      </c>
      <c r="J48">
        <v>0</v>
      </c>
      <c r="K48">
        <v>0</v>
      </c>
      <c r="L48">
        <f t="shared" si="0"/>
        <v>0</v>
      </c>
      <c r="M48">
        <f t="shared" si="1"/>
        <v>23</v>
      </c>
      <c r="N48">
        <v>214</v>
      </c>
    </row>
    <row r="49" spans="1:14" x14ac:dyDescent="0.35">
      <c r="A49">
        <v>46</v>
      </c>
      <c r="B49" t="s">
        <v>80</v>
      </c>
      <c r="C49" t="s">
        <v>81</v>
      </c>
      <c r="D49">
        <v>0</v>
      </c>
      <c r="E49">
        <v>70</v>
      </c>
      <c r="F49">
        <v>0</v>
      </c>
      <c r="G49">
        <v>38</v>
      </c>
      <c r="H49">
        <v>0</v>
      </c>
      <c r="I49">
        <v>0</v>
      </c>
      <c r="J49">
        <v>0</v>
      </c>
      <c r="K49">
        <v>0</v>
      </c>
      <c r="L49">
        <f t="shared" si="0"/>
        <v>0</v>
      </c>
      <c r="M49">
        <f t="shared" si="1"/>
        <v>108</v>
      </c>
      <c r="N49">
        <v>3600</v>
      </c>
    </row>
    <row r="50" spans="1:14" x14ac:dyDescent="0.35">
      <c r="A50">
        <v>47</v>
      </c>
      <c r="B50" t="s">
        <v>80</v>
      </c>
      <c r="C50" t="s">
        <v>82</v>
      </c>
      <c r="D50">
        <v>0</v>
      </c>
      <c r="E50">
        <v>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f t="shared" si="0"/>
        <v>0</v>
      </c>
      <c r="M50">
        <f t="shared" si="1"/>
        <v>7</v>
      </c>
      <c r="N50">
        <v>3600</v>
      </c>
    </row>
    <row r="51" spans="1:14" x14ac:dyDescent="0.35">
      <c r="A51">
        <v>48</v>
      </c>
      <c r="B51" t="s">
        <v>83</v>
      </c>
      <c r="C51" t="s">
        <v>84</v>
      </c>
      <c r="D51">
        <v>0</v>
      </c>
      <c r="E51">
        <v>55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f t="shared" si="0"/>
        <v>0</v>
      </c>
      <c r="M51">
        <f t="shared" si="1"/>
        <v>55</v>
      </c>
      <c r="N51">
        <v>3600</v>
      </c>
    </row>
    <row r="52" spans="1:14" x14ac:dyDescent="0.35">
      <c r="A52">
        <v>49</v>
      </c>
      <c r="B52" t="s">
        <v>85</v>
      </c>
      <c r="C52" t="s">
        <v>86</v>
      </c>
      <c r="D52">
        <v>0</v>
      </c>
      <c r="E52">
        <v>97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f t="shared" si="0"/>
        <v>0</v>
      </c>
      <c r="M52">
        <f t="shared" si="1"/>
        <v>97</v>
      </c>
      <c r="N52">
        <v>3600</v>
      </c>
    </row>
    <row r="53" spans="1:14" x14ac:dyDescent="0.35">
      <c r="A53">
        <v>50</v>
      </c>
      <c r="B53" t="s">
        <v>87</v>
      </c>
      <c r="C53" t="s">
        <v>88</v>
      </c>
      <c r="D53">
        <v>0</v>
      </c>
      <c r="E53">
        <v>26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f t="shared" si="0"/>
        <v>0</v>
      </c>
      <c r="M53">
        <f t="shared" si="1"/>
        <v>26</v>
      </c>
      <c r="N53">
        <v>3600</v>
      </c>
    </row>
    <row r="55" spans="1:14" x14ac:dyDescent="0.35">
      <c r="A55" t="s">
        <v>90</v>
      </c>
      <c r="D55">
        <v>7</v>
      </c>
      <c r="E55">
        <v>3791</v>
      </c>
      <c r="F55">
        <v>13</v>
      </c>
      <c r="G55">
        <v>1755</v>
      </c>
      <c r="H55">
        <v>0</v>
      </c>
      <c r="I55">
        <v>68</v>
      </c>
      <c r="K55">
        <v>0</v>
      </c>
      <c r="L55">
        <f t="shared" si="0"/>
        <v>20</v>
      </c>
      <c r="M55">
        <f t="shared" si="1"/>
        <v>5614</v>
      </c>
      <c r="N55">
        <v>164873</v>
      </c>
    </row>
    <row r="56" spans="1:14" x14ac:dyDescent="0.35">
      <c r="M56" t="s">
        <v>20</v>
      </c>
      <c r="N56">
        <v>3297.46</v>
      </c>
    </row>
  </sheetData>
  <mergeCells count="5">
    <mergeCell ref="H1:I1"/>
    <mergeCell ref="D1:E1"/>
    <mergeCell ref="F1:G1"/>
    <mergeCell ref="J1:K1"/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22D4-22DD-402A-93F3-1AEFAF60BAB1}">
  <dimension ref="A3:M29"/>
  <sheetViews>
    <sheetView topLeftCell="A3" workbookViewId="0">
      <selection activeCell="C4" sqref="C4"/>
    </sheetView>
  </sheetViews>
  <sheetFormatPr defaultRowHeight="14.5" x14ac:dyDescent="0.35"/>
  <cols>
    <col min="2" max="2" width="24.6328125" customWidth="1"/>
    <col min="3" max="3" width="20.90625" customWidth="1"/>
  </cols>
  <sheetData>
    <row r="3" spans="1:13" x14ac:dyDescent="0.35">
      <c r="D3" s="4" t="s">
        <v>2</v>
      </c>
      <c r="E3" s="4"/>
      <c r="F3" s="4" t="s">
        <v>5</v>
      </c>
      <c r="G3" s="4"/>
      <c r="H3" s="4" t="s">
        <v>6</v>
      </c>
      <c r="I3" s="4"/>
      <c r="J3" s="4" t="s">
        <v>7</v>
      </c>
      <c r="K3" s="4"/>
      <c r="L3" s="4" t="s">
        <v>90</v>
      </c>
      <c r="M3" s="4"/>
    </row>
    <row r="4" spans="1:13" x14ac:dyDescent="0.35">
      <c r="A4" t="s">
        <v>0</v>
      </c>
      <c r="B4" t="s">
        <v>1</v>
      </c>
      <c r="C4" t="s">
        <v>91</v>
      </c>
      <c r="D4" s="2" t="s">
        <v>3</v>
      </c>
      <c r="E4" s="2" t="s">
        <v>4</v>
      </c>
      <c r="F4" s="2" t="s">
        <v>3</v>
      </c>
      <c r="G4" s="2" t="s">
        <v>4</v>
      </c>
      <c r="H4" s="2" t="s">
        <v>3</v>
      </c>
      <c r="I4" s="2" t="s">
        <v>4</v>
      </c>
      <c r="J4" s="2" t="s">
        <v>3</v>
      </c>
      <c r="K4" t="s">
        <v>4</v>
      </c>
      <c r="L4" s="2" t="s">
        <v>3</v>
      </c>
      <c r="M4" s="2" t="s">
        <v>4</v>
      </c>
    </row>
    <row r="5" spans="1:13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5">
      <c r="A6">
        <v>1</v>
      </c>
      <c r="B6" t="s">
        <v>8</v>
      </c>
      <c r="C6" t="s">
        <v>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5">
      <c r="A7">
        <v>2</v>
      </c>
      <c r="B7" t="s">
        <v>8</v>
      </c>
      <c r="C7" t="s">
        <v>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5">
      <c r="A8">
        <v>3</v>
      </c>
      <c r="B8" t="s">
        <v>8</v>
      </c>
      <c r="C8" t="s">
        <v>12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5">
      <c r="A9">
        <v>4</v>
      </c>
      <c r="B9" t="s">
        <v>8</v>
      </c>
      <c r="C9" t="s">
        <v>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5">
      <c r="A10">
        <v>5</v>
      </c>
      <c r="B10" t="s">
        <v>8</v>
      </c>
      <c r="C10" t="s">
        <v>16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>
        <v>6</v>
      </c>
      <c r="B11" t="s">
        <v>8</v>
      </c>
      <c r="C1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5">
      <c r="A12">
        <v>7</v>
      </c>
      <c r="B12" t="s">
        <v>17</v>
      </c>
      <c r="C12" t="s">
        <v>18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5">
      <c r="A13">
        <v>8</v>
      </c>
      <c r="B13" t="s">
        <v>17</v>
      </c>
      <c r="C13" t="s">
        <v>19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5">
      <c r="A14">
        <v>9</v>
      </c>
      <c r="B14" t="s">
        <v>21</v>
      </c>
      <c r="C14" t="s">
        <v>24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5">
      <c r="A15">
        <v>10</v>
      </c>
      <c r="B15" t="s">
        <v>21</v>
      </c>
      <c r="C15" t="s">
        <v>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5">
      <c r="A16">
        <v>11</v>
      </c>
      <c r="B16" t="s">
        <v>21</v>
      </c>
      <c r="C16" t="s">
        <v>25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5">
      <c r="A17">
        <v>12</v>
      </c>
      <c r="B17" t="s">
        <v>21</v>
      </c>
      <c r="C17" t="s">
        <v>22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5">
      <c r="A18">
        <v>13</v>
      </c>
      <c r="B18" t="s">
        <v>29</v>
      </c>
      <c r="C18" t="s">
        <v>30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5">
      <c r="A19">
        <v>14</v>
      </c>
      <c r="B19" t="s">
        <v>31</v>
      </c>
      <c r="C19" t="s">
        <v>34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5">
      <c r="A20">
        <v>15</v>
      </c>
      <c r="B20" t="s">
        <v>33</v>
      </c>
      <c r="C20" t="s">
        <v>32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5">
      <c r="A21">
        <v>16</v>
      </c>
      <c r="B21" t="s">
        <v>37</v>
      </c>
      <c r="C21" t="s">
        <v>38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5">
      <c r="A22">
        <v>17</v>
      </c>
      <c r="B22" t="s">
        <v>39</v>
      </c>
      <c r="C22" t="s">
        <v>40</v>
      </c>
      <c r="D22">
        <v>0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5">
      <c r="A23">
        <v>18</v>
      </c>
      <c r="B23" t="s">
        <v>39</v>
      </c>
      <c r="C23" t="s">
        <v>41</v>
      </c>
      <c r="D23">
        <v>0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5">
      <c r="A24">
        <v>19</v>
      </c>
      <c r="B24" t="s">
        <v>39</v>
      </c>
      <c r="C24" t="s">
        <v>42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5">
      <c r="A25">
        <v>20</v>
      </c>
      <c r="B25" t="s">
        <v>50</v>
      </c>
      <c r="C25" t="s">
        <v>51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5">
      <c r="A26">
        <v>21</v>
      </c>
      <c r="B26" t="s">
        <v>52</v>
      </c>
      <c r="C26" t="s">
        <v>53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5">
      <c r="A27">
        <v>22</v>
      </c>
      <c r="B27" t="s">
        <v>52</v>
      </c>
      <c r="C27" t="s">
        <v>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9" spans="1:13" x14ac:dyDescent="0.35">
      <c r="D29">
        <f>SUM(D6:D27)</f>
        <v>3</v>
      </c>
      <c r="E29">
        <f t="shared" ref="E29:M29" si="0">SUM(E6:E27)</f>
        <v>0</v>
      </c>
      <c r="F29">
        <f t="shared" si="0"/>
        <v>4</v>
      </c>
      <c r="G29">
        <f t="shared" si="0"/>
        <v>1</v>
      </c>
      <c r="H29">
        <f t="shared" si="0"/>
        <v>0</v>
      </c>
      <c r="I29">
        <f t="shared" si="0"/>
        <v>0</v>
      </c>
      <c r="J29">
        <f t="shared" si="0"/>
        <v>0</v>
      </c>
      <c r="K29">
        <f t="shared" si="0"/>
        <v>0</v>
      </c>
      <c r="L29">
        <f t="shared" si="0"/>
        <v>0</v>
      </c>
      <c r="M29">
        <f t="shared" si="0"/>
        <v>0</v>
      </c>
    </row>
  </sheetData>
  <mergeCells count="5"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8F86-3DFF-4786-AF1B-6CE1709E9DB6}">
  <dimension ref="A1:M55"/>
  <sheetViews>
    <sheetView workbookViewId="0">
      <selection activeCell="C2" sqref="C2"/>
    </sheetView>
  </sheetViews>
  <sheetFormatPr defaultRowHeight="14.5" x14ac:dyDescent="0.35"/>
  <cols>
    <col min="2" max="2" width="25.81640625" customWidth="1"/>
    <col min="3" max="3" width="24.6328125" customWidth="1"/>
  </cols>
  <sheetData>
    <row r="1" spans="1:13" x14ac:dyDescent="0.35">
      <c r="D1" s="4" t="s">
        <v>2</v>
      </c>
      <c r="E1" s="4"/>
      <c r="F1" s="4" t="s">
        <v>5</v>
      </c>
      <c r="G1" s="4"/>
      <c r="H1" s="4" t="s">
        <v>6</v>
      </c>
      <c r="I1" s="4"/>
      <c r="J1" s="4" t="s">
        <v>7</v>
      </c>
      <c r="K1" s="4"/>
      <c r="L1" s="3" t="s">
        <v>90</v>
      </c>
      <c r="M1" s="3"/>
    </row>
    <row r="2" spans="1:13" x14ac:dyDescent="0.35">
      <c r="A2" t="s">
        <v>0</v>
      </c>
      <c r="B2" t="s">
        <v>1</v>
      </c>
      <c r="C2" t="s">
        <v>91</v>
      </c>
      <c r="D2" s="2" t="s">
        <v>3</v>
      </c>
      <c r="E2" s="2" t="s">
        <v>4</v>
      </c>
      <c r="F2" s="2" t="s">
        <v>3</v>
      </c>
      <c r="G2" s="2" t="s">
        <v>4</v>
      </c>
      <c r="H2" s="2" t="s">
        <v>3</v>
      </c>
      <c r="I2" s="2" t="s">
        <v>4</v>
      </c>
      <c r="J2" s="2" t="s">
        <v>3</v>
      </c>
      <c r="K2" t="s">
        <v>4</v>
      </c>
      <c r="L2" s="2" t="s">
        <v>3</v>
      </c>
      <c r="M2" s="2" t="s">
        <v>4</v>
      </c>
    </row>
    <row r="3" spans="1:13" s="1" customFormat="1" x14ac:dyDescent="0.35"/>
    <row r="4" spans="1:13" x14ac:dyDescent="0.35">
      <c r="A4">
        <v>1</v>
      </c>
      <c r="B4" t="s">
        <v>8</v>
      </c>
      <c r="C4" t="s">
        <v>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f>D4+F4+H4+J4</f>
        <v>0</v>
      </c>
      <c r="M4">
        <f>E4+G4+I4+K4</f>
        <v>0</v>
      </c>
    </row>
    <row r="5" spans="1:13" x14ac:dyDescent="0.35">
      <c r="A5">
        <v>2</v>
      </c>
      <c r="B5" t="s">
        <v>8</v>
      </c>
      <c r="C5" t="s">
        <v>10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f t="shared" ref="L5:M53" si="0">D5+F5+H5+J5</f>
        <v>0</v>
      </c>
      <c r="M5">
        <f t="shared" si="0"/>
        <v>0</v>
      </c>
    </row>
    <row r="6" spans="1:13" x14ac:dyDescent="0.35">
      <c r="A6">
        <v>3</v>
      </c>
      <c r="B6" t="s">
        <v>8</v>
      </c>
      <c r="C6" t="s">
        <v>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f t="shared" si="0"/>
        <v>0</v>
      </c>
      <c r="M6">
        <f t="shared" si="0"/>
        <v>0</v>
      </c>
    </row>
    <row r="7" spans="1:13" x14ac:dyDescent="0.35">
      <c r="A7">
        <v>4</v>
      </c>
      <c r="B7" t="s">
        <v>8</v>
      </c>
      <c r="C7" t="s">
        <v>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 t="shared" si="0"/>
        <v>0</v>
      </c>
      <c r="M7">
        <f t="shared" si="0"/>
        <v>0</v>
      </c>
    </row>
    <row r="8" spans="1:13" x14ac:dyDescent="0.35">
      <c r="A8">
        <v>5</v>
      </c>
      <c r="B8" t="s">
        <v>8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f t="shared" si="0"/>
        <v>0</v>
      </c>
      <c r="M8">
        <f t="shared" si="0"/>
        <v>0</v>
      </c>
    </row>
    <row r="9" spans="1:13" x14ac:dyDescent="0.35">
      <c r="A9">
        <v>6</v>
      </c>
      <c r="B9" t="s">
        <v>8</v>
      </c>
      <c r="C9" t="s">
        <v>14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f t="shared" si="0"/>
        <v>0</v>
      </c>
      <c r="M9">
        <f t="shared" si="0"/>
        <v>0</v>
      </c>
    </row>
    <row r="10" spans="1:13" x14ac:dyDescent="0.35">
      <c r="A10">
        <v>7</v>
      </c>
      <c r="B10" t="s">
        <v>8</v>
      </c>
      <c r="C10" t="s">
        <v>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 t="shared" si="0"/>
        <v>0</v>
      </c>
      <c r="M10">
        <f t="shared" si="0"/>
        <v>0</v>
      </c>
    </row>
    <row r="11" spans="1:13" x14ac:dyDescent="0.35">
      <c r="A11">
        <v>8</v>
      </c>
      <c r="B11" t="s">
        <v>8</v>
      </c>
      <c r="C11" t="s">
        <v>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f t="shared" si="0"/>
        <v>0</v>
      </c>
      <c r="M11">
        <f t="shared" si="0"/>
        <v>0</v>
      </c>
    </row>
    <row r="12" spans="1:13" x14ac:dyDescent="0.35">
      <c r="A12">
        <v>9</v>
      </c>
      <c r="B12" t="s">
        <v>17</v>
      </c>
      <c r="C12" t="s">
        <v>18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f t="shared" si="0"/>
        <v>1</v>
      </c>
      <c r="M12">
        <f t="shared" si="0"/>
        <v>0</v>
      </c>
    </row>
    <row r="13" spans="1:13" x14ac:dyDescent="0.35">
      <c r="A13">
        <v>10</v>
      </c>
      <c r="B13" t="s">
        <v>17</v>
      </c>
      <c r="C13" t="s">
        <v>19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f t="shared" si="0"/>
        <v>0</v>
      </c>
      <c r="M13">
        <f t="shared" si="0"/>
        <v>2</v>
      </c>
    </row>
    <row r="14" spans="1:13" x14ac:dyDescent="0.35">
      <c r="A14">
        <v>11</v>
      </c>
      <c r="B14" t="s">
        <v>21</v>
      </c>
      <c r="C14" t="s">
        <v>23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f t="shared" si="0"/>
        <v>0</v>
      </c>
      <c r="M14">
        <f t="shared" si="0"/>
        <v>0</v>
      </c>
    </row>
    <row r="15" spans="1:13" x14ac:dyDescent="0.35">
      <c r="A15">
        <v>12</v>
      </c>
      <c r="B15" t="s">
        <v>21</v>
      </c>
      <c r="C15" t="s">
        <v>24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 t="shared" si="0"/>
        <v>0</v>
      </c>
      <c r="M15">
        <f t="shared" si="0"/>
        <v>0</v>
      </c>
    </row>
    <row r="16" spans="1:13" x14ac:dyDescent="0.35">
      <c r="A16">
        <v>13</v>
      </c>
      <c r="B16" t="s">
        <v>21</v>
      </c>
      <c r="C16" t="s">
        <v>25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f t="shared" si="0"/>
        <v>0</v>
      </c>
      <c r="M16">
        <f t="shared" si="0"/>
        <v>0</v>
      </c>
    </row>
    <row r="17" spans="1:13" x14ac:dyDescent="0.35">
      <c r="A17">
        <v>14</v>
      </c>
      <c r="B17" t="s">
        <v>21</v>
      </c>
      <c r="C17" t="s">
        <v>26</v>
      </c>
      <c r="D17">
        <v>0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f t="shared" si="0"/>
        <v>2</v>
      </c>
      <c r="M17">
        <f t="shared" si="0"/>
        <v>0</v>
      </c>
    </row>
    <row r="18" spans="1:13" x14ac:dyDescent="0.35">
      <c r="A18">
        <v>15</v>
      </c>
      <c r="B18" t="s">
        <v>27</v>
      </c>
      <c r="C18" t="s">
        <v>28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f t="shared" si="0"/>
        <v>0</v>
      </c>
      <c r="M18">
        <f t="shared" si="0"/>
        <v>1</v>
      </c>
    </row>
    <row r="19" spans="1:13" x14ac:dyDescent="0.35">
      <c r="A19">
        <v>16</v>
      </c>
      <c r="B19" t="s">
        <v>29</v>
      </c>
      <c r="C19" t="s">
        <v>30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f t="shared" si="0"/>
        <v>0</v>
      </c>
      <c r="M19">
        <f t="shared" si="0"/>
        <v>1</v>
      </c>
    </row>
    <row r="20" spans="1:13" x14ac:dyDescent="0.35">
      <c r="A20">
        <v>17</v>
      </c>
      <c r="B20" t="s">
        <v>31</v>
      </c>
      <c r="C20" t="s">
        <v>32</v>
      </c>
      <c r="D20">
        <v>0</v>
      </c>
      <c r="E20">
        <v>0</v>
      </c>
      <c r="F20">
        <v>0</v>
      </c>
      <c r="G20">
        <v>3</v>
      </c>
      <c r="H20">
        <v>0</v>
      </c>
      <c r="I20">
        <v>0</v>
      </c>
      <c r="J20">
        <v>0</v>
      </c>
      <c r="K20">
        <v>0</v>
      </c>
      <c r="L20">
        <f t="shared" si="0"/>
        <v>0</v>
      </c>
      <c r="M20">
        <f t="shared" si="0"/>
        <v>3</v>
      </c>
    </row>
    <row r="21" spans="1:13" x14ac:dyDescent="0.35">
      <c r="A21">
        <v>18</v>
      </c>
      <c r="B21" t="s">
        <v>33</v>
      </c>
      <c r="C21" t="s">
        <v>34</v>
      </c>
      <c r="D21">
        <v>0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  <c r="K21">
        <v>0</v>
      </c>
      <c r="L21">
        <f t="shared" si="0"/>
        <v>0</v>
      </c>
      <c r="M21">
        <f t="shared" si="0"/>
        <v>2</v>
      </c>
    </row>
    <row r="22" spans="1:13" x14ac:dyDescent="0.35">
      <c r="A22">
        <v>19</v>
      </c>
      <c r="B22" t="s">
        <v>35</v>
      </c>
      <c r="C22" t="s">
        <v>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f t="shared" si="0"/>
        <v>0</v>
      </c>
      <c r="M22">
        <f t="shared" si="0"/>
        <v>0</v>
      </c>
    </row>
    <row r="23" spans="1:13" x14ac:dyDescent="0.35">
      <c r="A23">
        <v>20</v>
      </c>
      <c r="B23" t="s">
        <v>37</v>
      </c>
      <c r="C23" t="s">
        <v>38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f t="shared" si="0"/>
        <v>0</v>
      </c>
      <c r="M23">
        <f t="shared" si="0"/>
        <v>1</v>
      </c>
    </row>
    <row r="24" spans="1:13" x14ac:dyDescent="0.35">
      <c r="A24">
        <v>21</v>
      </c>
      <c r="B24" t="s">
        <v>39</v>
      </c>
      <c r="C24" t="s">
        <v>40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f t="shared" si="0"/>
        <v>2</v>
      </c>
      <c r="M24">
        <f t="shared" si="0"/>
        <v>0</v>
      </c>
    </row>
    <row r="25" spans="1:13" x14ac:dyDescent="0.35">
      <c r="A25">
        <v>22</v>
      </c>
      <c r="B25" t="s">
        <v>39</v>
      </c>
      <c r="C25" t="s">
        <v>41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f t="shared" si="0"/>
        <v>2</v>
      </c>
      <c r="M25">
        <f t="shared" si="0"/>
        <v>0</v>
      </c>
    </row>
    <row r="26" spans="1:13" x14ac:dyDescent="0.35">
      <c r="A26">
        <v>23</v>
      </c>
      <c r="B26" t="s">
        <v>39</v>
      </c>
      <c r="C26" t="s">
        <v>42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f t="shared" si="0"/>
        <v>0</v>
      </c>
      <c r="M26">
        <f t="shared" si="0"/>
        <v>0</v>
      </c>
    </row>
    <row r="27" spans="1:13" x14ac:dyDescent="0.35">
      <c r="A27">
        <v>24</v>
      </c>
      <c r="B27" t="s">
        <v>43</v>
      </c>
      <c r="C27" t="s">
        <v>44</v>
      </c>
      <c r="D27">
        <v>0</v>
      </c>
      <c r="E27">
        <v>0</v>
      </c>
      <c r="F27">
        <v>3</v>
      </c>
      <c r="G27">
        <v>3</v>
      </c>
      <c r="H27">
        <v>0</v>
      </c>
      <c r="I27">
        <v>0</v>
      </c>
      <c r="J27">
        <v>0</v>
      </c>
      <c r="K27">
        <v>0</v>
      </c>
      <c r="L27">
        <f t="shared" si="0"/>
        <v>3</v>
      </c>
      <c r="M27">
        <f t="shared" si="0"/>
        <v>3</v>
      </c>
    </row>
    <row r="28" spans="1:13" x14ac:dyDescent="0.35">
      <c r="A28">
        <v>25</v>
      </c>
      <c r="B28" t="s">
        <v>45</v>
      </c>
      <c r="C28" t="s">
        <v>46</v>
      </c>
      <c r="D28">
        <v>0</v>
      </c>
      <c r="E28">
        <v>2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f t="shared" si="0"/>
        <v>0</v>
      </c>
      <c r="M28">
        <f t="shared" si="0"/>
        <v>4</v>
      </c>
    </row>
    <row r="29" spans="1:13" x14ac:dyDescent="0.35">
      <c r="A29">
        <v>26</v>
      </c>
      <c r="B29" t="s">
        <v>47</v>
      </c>
      <c r="C29" t="s">
        <v>48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f t="shared" si="0"/>
        <v>1</v>
      </c>
      <c r="M29">
        <f t="shared" si="0"/>
        <v>0</v>
      </c>
    </row>
    <row r="30" spans="1:13" x14ac:dyDescent="0.35">
      <c r="A30">
        <v>27</v>
      </c>
      <c r="B30" t="s">
        <v>47</v>
      </c>
      <c r="C30" t="s">
        <v>49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f t="shared" si="0"/>
        <v>2</v>
      </c>
      <c r="M30">
        <f t="shared" si="0"/>
        <v>0</v>
      </c>
    </row>
    <row r="31" spans="1:13" x14ac:dyDescent="0.35">
      <c r="A31">
        <v>28</v>
      </c>
      <c r="B31" t="s">
        <v>50</v>
      </c>
      <c r="C31" t="s">
        <v>51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f t="shared" si="0"/>
        <v>1</v>
      </c>
      <c r="M31">
        <f t="shared" si="0"/>
        <v>0</v>
      </c>
    </row>
    <row r="32" spans="1:13" x14ac:dyDescent="0.35">
      <c r="A32">
        <v>29</v>
      </c>
      <c r="B32" t="s">
        <v>52</v>
      </c>
      <c r="C32" t="s">
        <v>53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f t="shared" si="0"/>
        <v>1</v>
      </c>
      <c r="M32">
        <f t="shared" si="0"/>
        <v>0</v>
      </c>
    </row>
    <row r="33" spans="1:13" x14ac:dyDescent="0.35">
      <c r="A33">
        <v>30</v>
      </c>
      <c r="B33" t="s">
        <v>52</v>
      </c>
      <c r="C33" t="s">
        <v>54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f t="shared" si="0"/>
        <v>0</v>
      </c>
      <c r="M33">
        <f t="shared" si="0"/>
        <v>0</v>
      </c>
    </row>
    <row r="34" spans="1:13" x14ac:dyDescent="0.35">
      <c r="A34">
        <v>31</v>
      </c>
      <c r="B34" t="s">
        <v>55</v>
      </c>
      <c r="C34" t="s">
        <v>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f t="shared" si="0"/>
        <v>0</v>
      </c>
      <c r="M34">
        <f t="shared" si="0"/>
        <v>0</v>
      </c>
    </row>
    <row r="35" spans="1:13" x14ac:dyDescent="0.35">
      <c r="A35">
        <v>32</v>
      </c>
      <c r="B35" t="s">
        <v>55</v>
      </c>
      <c r="C35" t="s">
        <v>57</v>
      </c>
      <c r="D35">
        <v>0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f t="shared" si="0"/>
        <v>0</v>
      </c>
      <c r="M35">
        <f t="shared" si="0"/>
        <v>2</v>
      </c>
    </row>
    <row r="36" spans="1:13" x14ac:dyDescent="0.35">
      <c r="A36">
        <v>33</v>
      </c>
      <c r="B36" t="s">
        <v>58</v>
      </c>
      <c r="C36" t="s">
        <v>59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f t="shared" si="0"/>
        <v>0</v>
      </c>
      <c r="M36">
        <f t="shared" si="0"/>
        <v>0</v>
      </c>
    </row>
    <row r="37" spans="1:13" x14ac:dyDescent="0.35">
      <c r="A37">
        <v>34</v>
      </c>
      <c r="B37" t="s">
        <v>60</v>
      </c>
      <c r="C37" t="s">
        <v>61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f t="shared" si="0"/>
        <v>1</v>
      </c>
      <c r="M37">
        <f t="shared" si="0"/>
        <v>1</v>
      </c>
    </row>
    <row r="38" spans="1:13" x14ac:dyDescent="0.35">
      <c r="A38">
        <v>35</v>
      </c>
      <c r="B38" t="s">
        <v>62</v>
      </c>
      <c r="C38" t="s">
        <v>63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f t="shared" si="0"/>
        <v>0</v>
      </c>
      <c r="M38">
        <f t="shared" si="0"/>
        <v>0</v>
      </c>
    </row>
    <row r="39" spans="1:13" x14ac:dyDescent="0.35">
      <c r="A39">
        <v>36</v>
      </c>
      <c r="B39" t="s">
        <v>64</v>
      </c>
      <c r="C39" t="s">
        <v>65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f t="shared" si="0"/>
        <v>2</v>
      </c>
      <c r="M39">
        <f t="shared" si="0"/>
        <v>0</v>
      </c>
    </row>
    <row r="40" spans="1:13" x14ac:dyDescent="0.35">
      <c r="A40">
        <v>37</v>
      </c>
      <c r="B40" t="s">
        <v>64</v>
      </c>
      <c r="C40" t="s">
        <v>66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f t="shared" si="0"/>
        <v>2</v>
      </c>
      <c r="M40">
        <f t="shared" si="0"/>
        <v>0</v>
      </c>
    </row>
    <row r="41" spans="1:13" x14ac:dyDescent="0.35">
      <c r="A41">
        <v>38</v>
      </c>
      <c r="B41" t="s">
        <v>64</v>
      </c>
      <c r="C41" t="s">
        <v>67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f t="shared" si="0"/>
        <v>0</v>
      </c>
      <c r="M41">
        <f t="shared" si="0"/>
        <v>0</v>
      </c>
    </row>
    <row r="42" spans="1:13" x14ac:dyDescent="0.35">
      <c r="A42">
        <v>39</v>
      </c>
      <c r="B42" t="s">
        <v>68</v>
      </c>
      <c r="C42" t="s">
        <v>69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f t="shared" si="0"/>
        <v>0</v>
      </c>
      <c r="M42">
        <f t="shared" si="0"/>
        <v>1</v>
      </c>
    </row>
    <row r="43" spans="1:13" x14ac:dyDescent="0.35">
      <c r="A43">
        <v>40</v>
      </c>
      <c r="B43" t="s">
        <v>68</v>
      </c>
      <c r="C43" t="s">
        <v>70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f t="shared" si="0"/>
        <v>0</v>
      </c>
      <c r="M43">
        <f t="shared" si="0"/>
        <v>1</v>
      </c>
    </row>
    <row r="44" spans="1:13" x14ac:dyDescent="0.35">
      <c r="A44">
        <v>41</v>
      </c>
      <c r="B44" t="s">
        <v>71</v>
      </c>
      <c r="C44" t="s">
        <v>72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f t="shared" si="0"/>
        <v>0</v>
      </c>
      <c r="M44">
        <f t="shared" si="0"/>
        <v>0</v>
      </c>
    </row>
    <row r="45" spans="1:13" x14ac:dyDescent="0.35">
      <c r="A45">
        <v>42</v>
      </c>
      <c r="B45" t="s">
        <v>71</v>
      </c>
      <c r="C45" t="s">
        <v>73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f t="shared" si="0"/>
        <v>0</v>
      </c>
      <c r="M45">
        <f t="shared" si="0"/>
        <v>0</v>
      </c>
    </row>
    <row r="46" spans="1:13" x14ac:dyDescent="0.35">
      <c r="A46">
        <v>43</v>
      </c>
      <c r="B46" t="s">
        <v>74</v>
      </c>
      <c r="C46" t="s">
        <v>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f t="shared" si="0"/>
        <v>0</v>
      </c>
      <c r="M46">
        <f t="shared" si="0"/>
        <v>0</v>
      </c>
    </row>
    <row r="47" spans="1:13" x14ac:dyDescent="0.35">
      <c r="A47">
        <v>44</v>
      </c>
      <c r="B47" t="s">
        <v>76</v>
      </c>
      <c r="C47" t="s">
        <v>77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f t="shared" si="0"/>
        <v>0</v>
      </c>
      <c r="M47">
        <f t="shared" si="0"/>
        <v>0</v>
      </c>
    </row>
    <row r="48" spans="1:13" x14ac:dyDescent="0.35">
      <c r="A48">
        <v>45</v>
      </c>
      <c r="B48" t="s">
        <v>78</v>
      </c>
      <c r="C48" t="s">
        <v>79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f t="shared" si="0"/>
        <v>0</v>
      </c>
      <c r="M48">
        <f t="shared" si="0"/>
        <v>0</v>
      </c>
    </row>
    <row r="49" spans="1:13" x14ac:dyDescent="0.35">
      <c r="A49">
        <v>46</v>
      </c>
      <c r="B49" t="s">
        <v>80</v>
      </c>
      <c r="C49" t="s">
        <v>81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f t="shared" si="0"/>
        <v>0</v>
      </c>
      <c r="M49">
        <f t="shared" si="0"/>
        <v>0</v>
      </c>
    </row>
    <row r="50" spans="1:13" x14ac:dyDescent="0.35">
      <c r="A50">
        <v>47</v>
      </c>
      <c r="B50" t="s">
        <v>80</v>
      </c>
      <c r="C50" t="s">
        <v>82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f t="shared" si="0"/>
        <v>0</v>
      </c>
      <c r="M50">
        <f t="shared" si="0"/>
        <v>0</v>
      </c>
    </row>
    <row r="51" spans="1:13" x14ac:dyDescent="0.35">
      <c r="A51">
        <v>48</v>
      </c>
      <c r="B51" t="s">
        <v>83</v>
      </c>
      <c r="C51" t="s">
        <v>84</v>
      </c>
      <c r="D51">
        <v>0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f t="shared" si="0"/>
        <v>2</v>
      </c>
      <c r="M51">
        <f t="shared" si="0"/>
        <v>0</v>
      </c>
    </row>
    <row r="52" spans="1:13" x14ac:dyDescent="0.35">
      <c r="A52">
        <v>49</v>
      </c>
      <c r="B52" t="s">
        <v>85</v>
      </c>
      <c r="C52" t="s">
        <v>86</v>
      </c>
      <c r="D52">
        <v>0</v>
      </c>
      <c r="E52">
        <v>0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f t="shared" si="0"/>
        <v>2</v>
      </c>
      <c r="M52">
        <f t="shared" si="0"/>
        <v>0</v>
      </c>
    </row>
    <row r="53" spans="1:13" x14ac:dyDescent="0.35">
      <c r="A53">
        <v>50</v>
      </c>
      <c r="B53" t="s">
        <v>87</v>
      </c>
      <c r="C53" t="s">
        <v>88</v>
      </c>
      <c r="D53">
        <v>0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f t="shared" si="0"/>
        <v>2</v>
      </c>
      <c r="M53">
        <f t="shared" si="0"/>
        <v>0</v>
      </c>
    </row>
    <row r="55" spans="1:13" x14ac:dyDescent="0.35">
      <c r="A55" t="s">
        <v>90</v>
      </c>
      <c r="D55">
        <v>7</v>
      </c>
      <c r="E55">
        <f>SUM(E4:E53)</f>
        <v>9</v>
      </c>
      <c r="F55">
        <f>SUM(F4:F53)</f>
        <v>19</v>
      </c>
      <c r="G55">
        <f t="shared" ref="G55:M55" si="1">SUM(G4:G53)</f>
        <v>13</v>
      </c>
      <c r="H55">
        <f t="shared" si="1"/>
        <v>0</v>
      </c>
      <c r="I55">
        <f t="shared" si="1"/>
        <v>0</v>
      </c>
      <c r="J55">
        <f t="shared" si="1"/>
        <v>0</v>
      </c>
      <c r="K55">
        <f t="shared" si="1"/>
        <v>0</v>
      </c>
      <c r="L55">
        <f t="shared" si="1"/>
        <v>26</v>
      </c>
      <c r="M55">
        <f t="shared" si="1"/>
        <v>22</v>
      </c>
    </row>
  </sheetData>
  <mergeCells count="4"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without HFProbe</vt:lpstr>
      <vt:lpstr>without configuration mutation</vt:lpstr>
      <vt:lpstr>without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Mengting</dc:creator>
  <cp:lastModifiedBy>He, Mengting</cp:lastModifiedBy>
  <dcterms:created xsi:type="dcterms:W3CDTF">2026-07-06T04:55:30Z</dcterms:created>
  <dcterms:modified xsi:type="dcterms:W3CDTF">2026-07-06T05:52:34Z</dcterms:modified>
</cp:coreProperties>
</file>